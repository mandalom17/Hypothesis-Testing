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9c9332eebd909d/Documents/"/>
    </mc:Choice>
  </mc:AlternateContent>
  <xr:revisionPtr revIDLastSave="16" documentId="8_{BFB8831F-18AA-BA41-83CA-A2A895DD375E}" xr6:coauthVersionLast="47" xr6:coauthVersionMax="47" xr10:uidLastSave="{A09A72B8-B7A4-F341-9AD9-163DD8F5727C}"/>
  <bookViews>
    <workbookView xWindow="0" yWindow="580" windowWidth="25600" windowHeight="16060" xr2:uid="{1AAF900B-D86E-4048-98AB-8A4FD2FCF6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3" i="1" l="1"/>
  <c r="E62" i="1"/>
  <c r="E61" i="1"/>
  <c r="E60" i="1"/>
  <c r="E59" i="1"/>
  <c r="E58" i="1"/>
  <c r="C41" i="1"/>
  <c r="C42" i="1" s="1"/>
  <c r="C40" i="1"/>
  <c r="C66" i="1" l="1"/>
  <c r="C67" i="1"/>
  <c r="C68" i="1"/>
  <c r="C70" i="1" s="1"/>
  <c r="C72" i="1" s="1"/>
  <c r="C44" i="1"/>
  <c r="C43" i="1"/>
  <c r="C69" i="1" l="1"/>
  <c r="C74" i="1" l="1"/>
  <c r="C73" i="1"/>
  <c r="C71" i="1"/>
</calcChain>
</file>

<file path=xl/sharedStrings.xml><?xml version="1.0" encoding="utf-8"?>
<sst xmlns="http://schemas.openxmlformats.org/spreadsheetml/2006/main" count="112" uniqueCount="93">
  <si>
    <t>relationship in the populaton being studied .</t>
  </si>
  <si>
    <t xml:space="preserve">          It is important because hypothesis testing starts by assuming that the null hypothesis is true. </t>
  </si>
  <si>
    <r>
      <t>Statistical evidence from the sample is thenm used to decide whether to reject H</t>
    </r>
    <r>
      <rPr>
        <sz val="8"/>
        <color theme="1"/>
        <rFont val="Aptos Narrow (Body)"/>
      </rPr>
      <t xml:space="preserve">0 </t>
    </r>
    <r>
      <rPr>
        <sz val="14"/>
        <color theme="1"/>
        <rFont val="Aptos Narrow (Body)"/>
      </rPr>
      <t>or fail to reject H</t>
    </r>
    <r>
      <rPr>
        <sz val="8"/>
        <color theme="1"/>
        <rFont val="Aptos Narrow (Body)"/>
      </rPr>
      <t>0 .</t>
    </r>
  </si>
  <si>
    <t>when it is actually true. It is also known as the probability of making a type I error .</t>
  </si>
  <si>
    <t xml:space="preserve">            For example, if α =0.05, there is a 5% risk of rejecting a true null hypothesis.</t>
  </si>
  <si>
    <t>true.</t>
  </si>
  <si>
    <t xml:space="preserve">       Type II Error : A Type II Error occurs when we fail to reject the null hypothesis even through it is actually </t>
  </si>
  <si>
    <t>false.</t>
  </si>
  <si>
    <t>ERROR</t>
  </si>
  <si>
    <t>DECISION</t>
  </si>
  <si>
    <t>ACTUAL SITUATION</t>
  </si>
  <si>
    <t xml:space="preserve">Type I Error </t>
  </si>
  <si>
    <t xml:space="preserve">Type II Error </t>
  </si>
  <si>
    <r>
      <t>Fail to reject H</t>
    </r>
    <r>
      <rPr>
        <sz val="8"/>
        <color theme="1"/>
        <rFont val="Aptos Narrow (Body)"/>
      </rPr>
      <t>0</t>
    </r>
  </si>
  <si>
    <r>
      <t>H</t>
    </r>
    <r>
      <rPr>
        <sz val="8"/>
        <color theme="1"/>
        <rFont val="Aptos Narrow (Body)"/>
      </rPr>
      <t>0</t>
    </r>
    <r>
      <rPr>
        <sz val="14"/>
        <color theme="1"/>
        <rFont val="Aptos Narrow"/>
        <family val="2"/>
        <scheme val="minor"/>
      </rPr>
      <t xml:space="preserve"> is false </t>
    </r>
  </si>
  <si>
    <r>
      <t>H</t>
    </r>
    <r>
      <rPr>
        <sz val="8"/>
        <color theme="1"/>
        <rFont val="Aptos Narrow (Body)"/>
      </rPr>
      <t>0</t>
    </r>
    <r>
      <rPr>
        <sz val="14"/>
        <color theme="1"/>
        <rFont val="Aptos Narrow"/>
        <family val="2"/>
        <scheme val="minor"/>
      </rPr>
      <t xml:space="preserve"> is true</t>
    </r>
  </si>
  <si>
    <r>
      <t>Reject H</t>
    </r>
    <r>
      <rPr>
        <sz val="8"/>
        <color theme="1"/>
        <rFont val="Aptos Narrow (Body)"/>
      </rPr>
      <t>0</t>
    </r>
  </si>
  <si>
    <t>a greater than or less than a certain value.</t>
  </si>
  <si>
    <t xml:space="preserve">        Example : H₀: μ = 50</t>
  </si>
  <si>
    <t xml:space="preserve">      A two- tailed test is used when we went to determine when we went to determine whether there is </t>
  </si>
  <si>
    <t xml:space="preserve"> significant difference in either direction. </t>
  </si>
  <si>
    <t xml:space="preserve">                         : H₁: μ &gt; 50</t>
  </si>
  <si>
    <t xml:space="preserve">      Example : H₀: μ = 50</t>
  </si>
  <si>
    <t xml:space="preserve">                       : H₁: μ ≠ 50 </t>
  </si>
  <si>
    <t xml:space="preserve">   In a one-tailed test, the rejection region is located in one tail of the distribution, while in a two-taild test, the </t>
  </si>
  <si>
    <t>rejection regions are located in both tails.</t>
  </si>
  <si>
    <t>sample of 9 complaints gives an average time of 12 minutes and a standard deviation of 3 minutes. At α = 0.05,</t>
  </si>
  <si>
    <t xml:space="preserve">test the claim. </t>
  </si>
  <si>
    <t xml:space="preserve">Answer : </t>
  </si>
  <si>
    <t>QUESTION 5 – SAMPLE t-TEST</t>
  </si>
  <si>
    <t>Parameter</t>
  </si>
  <si>
    <t>Value</t>
  </si>
  <si>
    <t>Population Mean (μ₀)</t>
  </si>
  <si>
    <t>Sample Mean (x̄)</t>
  </si>
  <si>
    <t>Sample Standard Deviation (s)</t>
  </si>
  <si>
    <t>Sample Size (n)</t>
  </si>
  <si>
    <t>Significance Level (α)</t>
  </si>
  <si>
    <t>Test Type</t>
  </si>
  <si>
    <t>Two-tailed</t>
  </si>
  <si>
    <t>CALCULATION</t>
  </si>
  <si>
    <t>RESULT</t>
  </si>
  <si>
    <t>t-statistic</t>
  </si>
  <si>
    <t>Degrees of Freedom</t>
  </si>
  <si>
    <t>Critical t-value</t>
  </si>
  <si>
    <t>Decision</t>
  </si>
  <si>
    <t>Conclusion</t>
  </si>
  <si>
    <t>Expected result</t>
  </si>
  <si>
    <t>t = 2.00; df = 8; critical t ≈ 2.306; Fail to reject H₀</t>
  </si>
  <si>
    <t xml:space="preserve">when the sample size is large . </t>
  </si>
  <si>
    <t xml:space="preserve">     A t-test is generally used when the population standard deviaton is unknown and the sample standard</t>
  </si>
  <si>
    <t xml:space="preserve">deviation is used instead, especially for samples. </t>
  </si>
  <si>
    <t xml:space="preserve">     For example : Z- test : Population standard deviation is known.</t>
  </si>
  <si>
    <t xml:space="preserve">                            : t- test : Population standard deviation is unknown and must be estimated from the sample.</t>
  </si>
  <si>
    <t>QUESTION 7 – PAIRED t-TEST</t>
  </si>
  <si>
    <t>Employee</t>
  </si>
  <si>
    <t>Before</t>
  </si>
  <si>
    <t>After</t>
  </si>
  <si>
    <t>Difference (After-Before)</t>
  </si>
  <si>
    <t>VALUE</t>
  </si>
  <si>
    <t>Mean Difference</t>
  </si>
  <si>
    <t>Std. Dev. of Differences</t>
  </si>
  <si>
    <t>Sample Size</t>
  </si>
  <si>
    <t>One-tailed p-value</t>
  </si>
  <si>
    <t>t ≈ 4.10; df = 5; one-tailed p ≈ 0.0028; Reject H₀</t>
  </si>
  <si>
    <t>QUESTION 8 – CHI-SQUARE TEST OF INDEPENDENCE </t>
  </si>
  <si>
    <t>Observed Frequencies</t>
  </si>
  <si>
    <t>Product A</t>
  </si>
  <si>
    <t>Product B</t>
  </si>
  <si>
    <t>Total</t>
  </si>
  <si>
    <t>Male</t>
  </si>
  <si>
    <t>Female</t>
  </si>
  <si>
    <t>Expected Frequencies</t>
  </si>
  <si>
    <t>Chi-square statistic</t>
  </si>
  <si>
    <t>p-value</t>
  </si>
  <si>
    <t>Critical Chi-square</t>
  </si>
  <si>
    <t>Reject H₀</t>
  </si>
  <si>
    <t>Evidence that product preference is associated with gender</t>
  </si>
  <si>
    <t>χ² = 16.67; df = 1; p ≈ 0.0000455; Reject H₀</t>
  </si>
  <si>
    <r>
      <rPr>
        <b/>
        <sz val="14"/>
        <color theme="1"/>
        <rFont val="Aptos Narrow"/>
        <scheme val="minor"/>
      </rPr>
      <t xml:space="preserve">Question 1: </t>
    </r>
    <r>
      <rPr>
        <sz val="14"/>
        <color theme="1"/>
        <rFont val="Aptos Narrow"/>
        <family val="2"/>
        <scheme val="minor"/>
      </rPr>
      <t>What is a null hypothesis (H</t>
    </r>
    <r>
      <rPr>
        <sz val="8"/>
        <color theme="1"/>
        <rFont val="Aptos Narrow (Body)"/>
      </rPr>
      <t>0</t>
    </r>
    <r>
      <rPr>
        <sz val="14"/>
        <color theme="1"/>
        <rFont val="Aptos Narrow (Body)"/>
      </rPr>
      <t>) and why is it important in hypothesis testing ?</t>
    </r>
  </si>
  <si>
    <r>
      <rPr>
        <b/>
        <sz val="14"/>
        <color theme="1"/>
        <rFont val="Aptos Narrow"/>
        <scheme val="minor"/>
      </rPr>
      <t>Answer</t>
    </r>
    <r>
      <rPr>
        <sz val="14"/>
        <color theme="1"/>
        <rFont val="Aptos Narrow"/>
        <family val="2"/>
        <scheme val="minor"/>
      </rPr>
      <t>: The null hypothesis (H</t>
    </r>
    <r>
      <rPr>
        <sz val="8"/>
        <color theme="1"/>
        <rFont val="Aptos Narrow (Body)"/>
      </rPr>
      <t>0</t>
    </r>
    <r>
      <rPr>
        <sz val="14"/>
        <color theme="1"/>
        <rFont val="Aptos Narrow (Body)"/>
      </rPr>
      <t xml:space="preserve">) is a statement thst assumes there is no significant difference, effect, or </t>
    </r>
  </si>
  <si>
    <r>
      <rPr>
        <b/>
        <sz val="14"/>
        <color theme="1"/>
        <rFont val="Aptos Narrow"/>
        <scheme val="minor"/>
      </rPr>
      <t>Question 2 :</t>
    </r>
    <r>
      <rPr>
        <sz val="14"/>
        <color theme="1"/>
        <rFont val="Aptos Narrow"/>
        <family val="2"/>
        <scheme val="minor"/>
      </rPr>
      <t xml:space="preserve"> What does the significance levele (α) represents in hypothesis testing ? </t>
    </r>
  </si>
  <si>
    <r>
      <rPr>
        <b/>
        <sz val="14"/>
        <color theme="1"/>
        <rFont val="Aptos Narrow"/>
        <scheme val="minor"/>
      </rPr>
      <t>Answer :</t>
    </r>
    <r>
      <rPr>
        <sz val="14"/>
        <color theme="1"/>
        <rFont val="Aptos Narrow"/>
        <family val="2"/>
        <scheme val="minor"/>
      </rPr>
      <t xml:space="preserve"> The significance level (α)  represent the maximum probability of rejecting the null hypothesis</t>
    </r>
  </si>
  <si>
    <r>
      <rPr>
        <b/>
        <sz val="14"/>
        <color theme="1"/>
        <rFont val="Aptos Narrow"/>
        <scheme val="minor"/>
      </rPr>
      <t>Question 3 :</t>
    </r>
    <r>
      <rPr>
        <sz val="14"/>
        <color theme="1"/>
        <rFont val="Aptos Narrow"/>
        <family val="2"/>
        <scheme val="minor"/>
      </rPr>
      <t xml:space="preserve"> Differentiate between Type I and Type II errors.</t>
    </r>
  </si>
  <si>
    <r>
      <rPr>
        <b/>
        <sz val="14"/>
        <color theme="1"/>
        <rFont val="Aptos Narrow"/>
        <scheme val="minor"/>
      </rPr>
      <t>Answer :</t>
    </r>
    <r>
      <rPr>
        <sz val="14"/>
        <color theme="1"/>
        <rFont val="Aptos Narrow"/>
        <family val="2"/>
        <scheme val="minor"/>
      </rPr>
      <t xml:space="preserve"> Type I Error : A Type I error occurs when we reject the null hypothesis even though it is actually </t>
    </r>
  </si>
  <si>
    <r>
      <rPr>
        <b/>
        <sz val="14"/>
        <color theme="1"/>
        <rFont val="Aptos Narrow"/>
        <scheme val="minor"/>
      </rPr>
      <t xml:space="preserve">Question 4 : </t>
    </r>
    <r>
      <rPr>
        <sz val="14"/>
        <color theme="1"/>
        <rFont val="Aptos Narrow"/>
        <family val="2"/>
        <scheme val="minor"/>
      </rPr>
      <t>Explain the difference between a one-tailed test and two- tailed test. Give an example of each.</t>
    </r>
  </si>
  <si>
    <r>
      <rPr>
        <b/>
        <sz val="14"/>
        <color theme="1"/>
        <rFont val="Aptos Narrow"/>
        <scheme val="minor"/>
      </rPr>
      <t xml:space="preserve">Answer : </t>
    </r>
    <r>
      <rPr>
        <sz val="14"/>
        <color theme="1"/>
        <rFont val="Aptos Narrow"/>
        <family val="2"/>
        <scheme val="minor"/>
      </rPr>
      <t xml:space="preserve">A one-tailed test is used when the alternative hypothesis specifies a particular direction, such as </t>
    </r>
  </si>
  <si>
    <r>
      <rPr>
        <b/>
        <sz val="14"/>
        <color theme="1"/>
        <rFont val="Aptos Narrow"/>
        <scheme val="minor"/>
      </rPr>
      <t>Question  5 :</t>
    </r>
    <r>
      <rPr>
        <sz val="14"/>
        <color theme="1"/>
        <rFont val="Aptos Narrow"/>
        <family val="2"/>
        <scheme val="minor"/>
      </rPr>
      <t xml:space="preserve"> A company claims that the average time to resolve a csotumer  complaint is 10 minutes. A random</t>
    </r>
  </si>
  <si>
    <r>
      <rPr>
        <b/>
        <sz val="14"/>
        <color theme="1"/>
        <rFont val="Aptos Narrow"/>
        <scheme val="minor"/>
      </rPr>
      <t xml:space="preserve">Question 6: </t>
    </r>
    <r>
      <rPr>
        <sz val="14"/>
        <color theme="1"/>
        <rFont val="Aptos Narrow"/>
        <family val="2"/>
        <scheme val="minor"/>
      </rPr>
      <t>When should you use a Z-test instead of a t-test ?</t>
    </r>
  </si>
  <si>
    <r>
      <rPr>
        <b/>
        <sz val="14"/>
        <color theme="1"/>
        <rFont val="Aptos Narrow"/>
        <scheme val="minor"/>
      </rPr>
      <t>Answer :</t>
    </r>
    <r>
      <rPr>
        <sz val="14"/>
        <color theme="1"/>
        <rFont val="Aptos Narrow"/>
        <family val="2"/>
        <scheme val="minor"/>
      </rPr>
      <t xml:space="preserve"> A Z-test should generally be used when the population standard deviation (σ) is known, particularly </t>
    </r>
  </si>
  <si>
    <r>
      <rPr>
        <b/>
        <sz val="14"/>
        <color theme="1"/>
        <rFont val="Aptos Narrow"/>
        <scheme val="minor"/>
      </rPr>
      <t xml:space="preserve">Question 7 : </t>
    </r>
    <r>
      <rPr>
        <sz val="14"/>
        <color theme="1"/>
        <rFont val="Aptos Narrow"/>
        <family val="2"/>
        <scheme val="minor"/>
      </rPr>
      <t>The productavity of 6 employees was measured before and after a training program.</t>
    </r>
  </si>
  <si>
    <r>
      <t xml:space="preserve"> </t>
    </r>
    <r>
      <rPr>
        <b/>
        <sz val="14"/>
        <color theme="1"/>
        <rFont val="Aptos Narrow"/>
        <scheme val="minor"/>
      </rPr>
      <t xml:space="preserve">Answer : </t>
    </r>
  </si>
  <si>
    <r>
      <rPr>
        <b/>
        <sz val="14"/>
        <color theme="1"/>
        <rFont val="Aptos Narrow"/>
        <scheme val="minor"/>
      </rPr>
      <t>Question 8 :</t>
    </r>
    <r>
      <rPr>
        <sz val="14"/>
        <color theme="1"/>
        <rFont val="Aptos Narrow"/>
        <family val="2"/>
        <scheme val="minor"/>
      </rPr>
      <t xml:space="preserve"> A company wants to test if product preference is independent of gender.</t>
    </r>
  </si>
  <si>
    <r>
      <t xml:space="preserve"> </t>
    </r>
    <r>
      <rPr>
        <b/>
        <sz val="14"/>
        <color theme="1"/>
        <rFont val="Aptos Narrow"/>
        <scheme val="minor"/>
      </rPr>
      <t xml:space="preserve">Answer: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</si>
</sst>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Aptos Narrow (Body)"/>
    </font>
    <font>
      <sz val="14"/>
      <color theme="1"/>
      <name val="Aptos Narrow (Body)"/>
    </font>
    <font>
      <b/>
      <sz val="14"/>
      <color theme="1"/>
      <name val="Aptos Narrow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11" fontId="8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213B-729E-7F46-B1BA-B1EDA5449230}">
  <dimension ref="A1:E98"/>
  <sheetViews>
    <sheetView tabSelected="1" workbookViewId="0">
      <selection activeCell="A80" sqref="A80"/>
    </sheetView>
  </sheetViews>
  <sheetFormatPr baseColWidth="10" defaultRowHeight="19" x14ac:dyDescent="0.25"/>
  <cols>
    <col min="1" max="1" width="102.83203125" style="1" bestFit="1" customWidth="1"/>
    <col min="2" max="2" width="16.6640625" style="1" customWidth="1"/>
    <col min="3" max="3" width="16.83203125" style="1" customWidth="1"/>
    <col min="4" max="4" width="17.83203125" style="1" customWidth="1"/>
  </cols>
  <sheetData>
    <row r="1" spans="1:4" x14ac:dyDescent="0.25">
      <c r="A1" s="1" t="s">
        <v>78</v>
      </c>
    </row>
    <row r="2" spans="1:4" x14ac:dyDescent="0.25">
      <c r="A2" s="1" t="s">
        <v>79</v>
      </c>
    </row>
    <row r="3" spans="1:4" x14ac:dyDescent="0.25">
      <c r="A3" s="1" t="s">
        <v>0</v>
      </c>
    </row>
    <row r="4" spans="1:4" x14ac:dyDescent="0.25">
      <c r="A4" s="1" t="s">
        <v>1</v>
      </c>
    </row>
    <row r="5" spans="1:4" x14ac:dyDescent="0.25">
      <c r="A5" s="1" t="s">
        <v>2</v>
      </c>
    </row>
    <row r="7" spans="1:4" x14ac:dyDescent="0.25">
      <c r="A7" s="14" t="s">
        <v>80</v>
      </c>
    </row>
    <row r="8" spans="1:4" x14ac:dyDescent="0.25">
      <c r="A8" s="14" t="s">
        <v>81</v>
      </c>
    </row>
    <row r="9" spans="1:4" x14ac:dyDescent="0.25">
      <c r="A9" s="1" t="s">
        <v>3</v>
      </c>
    </row>
    <row r="10" spans="1:4" x14ac:dyDescent="0.25">
      <c r="A10" s="1" t="s">
        <v>4</v>
      </c>
    </row>
    <row r="12" spans="1:4" x14ac:dyDescent="0.25">
      <c r="A12" s="14" t="s">
        <v>82</v>
      </c>
    </row>
    <row r="13" spans="1:4" x14ac:dyDescent="0.25">
      <c r="A13" s="14" t="s">
        <v>83</v>
      </c>
      <c r="B13" s="3" t="s">
        <v>8</v>
      </c>
      <c r="C13" s="3" t="s">
        <v>9</v>
      </c>
      <c r="D13" s="3" t="s">
        <v>10</v>
      </c>
    </row>
    <row r="14" spans="1:4" x14ac:dyDescent="0.25">
      <c r="A14" s="1" t="s">
        <v>5</v>
      </c>
      <c r="B14" s="2" t="s">
        <v>11</v>
      </c>
      <c r="C14" s="2" t="s">
        <v>16</v>
      </c>
      <c r="D14" s="2" t="s">
        <v>15</v>
      </c>
    </row>
    <row r="15" spans="1:4" x14ac:dyDescent="0.25">
      <c r="A15" s="1" t="s">
        <v>6</v>
      </c>
      <c r="B15" s="2" t="s">
        <v>12</v>
      </c>
      <c r="C15" s="2" t="s">
        <v>13</v>
      </c>
      <c r="D15" s="2" t="s">
        <v>14</v>
      </c>
    </row>
    <row r="16" spans="1:4" x14ac:dyDescent="0.25">
      <c r="A16" s="1" t="s">
        <v>7</v>
      </c>
    </row>
    <row r="18" spans="1:3" x14ac:dyDescent="0.25">
      <c r="A18" s="14" t="s">
        <v>84</v>
      </c>
    </row>
    <row r="19" spans="1:3" x14ac:dyDescent="0.25">
      <c r="A19" s="14" t="s">
        <v>85</v>
      </c>
    </row>
    <row r="20" spans="1:3" x14ac:dyDescent="0.25">
      <c r="A20" s="1" t="s">
        <v>17</v>
      </c>
    </row>
    <row r="21" spans="1:3" ht="20" x14ac:dyDescent="0.25">
      <c r="A21" s="4" t="s">
        <v>18</v>
      </c>
    </row>
    <row r="22" spans="1:3" x14ac:dyDescent="0.25">
      <c r="A22" s="1" t="s">
        <v>21</v>
      </c>
    </row>
    <row r="23" spans="1:3" x14ac:dyDescent="0.25">
      <c r="A23" s="1" t="s">
        <v>19</v>
      </c>
    </row>
    <row r="24" spans="1:3" x14ac:dyDescent="0.25">
      <c r="A24" s="1" t="s">
        <v>20</v>
      </c>
    </row>
    <row r="25" spans="1:3" x14ac:dyDescent="0.25">
      <c r="A25" s="1" t="s">
        <v>22</v>
      </c>
    </row>
    <row r="26" spans="1:3" x14ac:dyDescent="0.25">
      <c r="A26" s="1" t="s">
        <v>23</v>
      </c>
    </row>
    <row r="27" spans="1:3" x14ac:dyDescent="0.25">
      <c r="A27" s="1" t="s">
        <v>24</v>
      </c>
    </row>
    <row r="28" spans="1:3" x14ac:dyDescent="0.25">
      <c r="A28" s="1" t="s">
        <v>25</v>
      </c>
    </row>
    <row r="30" spans="1:3" ht="40" x14ac:dyDescent="0.25">
      <c r="A30" s="14" t="s">
        <v>86</v>
      </c>
      <c r="B30" s="5" t="s">
        <v>29</v>
      </c>
      <c r="C30" s="6"/>
    </row>
    <row r="31" spans="1:3" x14ac:dyDescent="0.25">
      <c r="A31" s="1" t="s">
        <v>26</v>
      </c>
      <c r="B31" s="7" t="s">
        <v>30</v>
      </c>
      <c r="C31" s="7" t="s">
        <v>31</v>
      </c>
    </row>
    <row r="32" spans="1:3" ht="34" x14ac:dyDescent="0.25">
      <c r="A32" s="1" t="s">
        <v>27</v>
      </c>
      <c r="B32" s="6" t="s">
        <v>32</v>
      </c>
      <c r="C32" s="6">
        <v>10</v>
      </c>
    </row>
    <row r="33" spans="1:3" x14ac:dyDescent="0.25">
      <c r="A33" s="15" t="s">
        <v>28</v>
      </c>
      <c r="B33" s="6" t="s">
        <v>33</v>
      </c>
      <c r="C33" s="6">
        <v>12</v>
      </c>
    </row>
    <row r="34" spans="1:3" ht="34" x14ac:dyDescent="0.25">
      <c r="B34" s="6" t="s">
        <v>34</v>
      </c>
      <c r="C34" s="6">
        <v>3</v>
      </c>
    </row>
    <row r="35" spans="1:3" x14ac:dyDescent="0.25">
      <c r="B35" s="6" t="s">
        <v>35</v>
      </c>
      <c r="C35" s="6">
        <v>9</v>
      </c>
    </row>
    <row r="36" spans="1:3" ht="34" x14ac:dyDescent="0.25">
      <c r="B36" s="6" t="s">
        <v>36</v>
      </c>
      <c r="C36" s="6">
        <v>0.05</v>
      </c>
    </row>
    <row r="37" spans="1:3" x14ac:dyDescent="0.25">
      <c r="B37" s="6" t="s">
        <v>37</v>
      </c>
      <c r="C37" s="6" t="s">
        <v>38</v>
      </c>
    </row>
    <row r="38" spans="1:3" x14ac:dyDescent="0.25">
      <c r="B38" s="6"/>
      <c r="C38" s="6"/>
    </row>
    <row r="39" spans="1:3" x14ac:dyDescent="0.25">
      <c r="B39" s="7" t="s">
        <v>39</v>
      </c>
      <c r="C39" s="6" t="s">
        <v>40</v>
      </c>
    </row>
    <row r="40" spans="1:3" x14ac:dyDescent="0.25">
      <c r="B40" s="6" t="s">
        <v>41</v>
      </c>
      <c r="C40" s="6">
        <f>(C33-C32)/(C34/SQRT(C35))</f>
        <v>2</v>
      </c>
    </row>
    <row r="41" spans="1:3" ht="34" x14ac:dyDescent="0.25">
      <c r="B41" s="6" t="s">
        <v>42</v>
      </c>
      <c r="C41" s="6">
        <f>C35-1</f>
        <v>8</v>
      </c>
    </row>
    <row r="42" spans="1:3" x14ac:dyDescent="0.25">
      <c r="B42" s="6" t="s">
        <v>43</v>
      </c>
      <c r="C42" s="6">
        <f>_xlfn.SINGLE(_xlfn.T.INV.2T(C36,C41))</f>
        <v>2.3060041352041671</v>
      </c>
    </row>
    <row r="43" spans="1:3" x14ac:dyDescent="0.25">
      <c r="B43" s="6" t="s">
        <v>44</v>
      </c>
      <c r="C43" s="6" t="str">
        <f>IF(ABS(C40)&gt;C42,"Reject H₀","Fail to reject H₀")</f>
        <v>Fail to reject H₀</v>
      </c>
    </row>
    <row r="44" spans="1:3" ht="68" x14ac:dyDescent="0.25">
      <c r="B44" s="6" t="s">
        <v>45</v>
      </c>
      <c r="C44" s="6" t="str">
        <f>IF(ABS(C40)&gt;C42,"Evidence of a significant difference","Not enough evidence that the mean differs from 10 minutes")</f>
        <v>Not enough evidence that the mean differs from 10 minutes</v>
      </c>
    </row>
    <row r="45" spans="1:3" x14ac:dyDescent="0.25">
      <c r="B45"/>
      <c r="C45"/>
    </row>
    <row r="46" spans="1:3" x14ac:dyDescent="0.25">
      <c r="B46" t="s">
        <v>46</v>
      </c>
      <c r="C46" t="s">
        <v>47</v>
      </c>
    </row>
    <row r="47" spans="1:3" x14ac:dyDescent="0.25">
      <c r="B47"/>
      <c r="C47"/>
    </row>
    <row r="48" spans="1:3" x14ac:dyDescent="0.25">
      <c r="A48" s="14" t="s">
        <v>87</v>
      </c>
    </row>
    <row r="49" spans="1:5" x14ac:dyDescent="0.25">
      <c r="A49" s="14" t="s">
        <v>88</v>
      </c>
    </row>
    <row r="50" spans="1:5" x14ac:dyDescent="0.25">
      <c r="A50" s="1" t="s">
        <v>48</v>
      </c>
    </row>
    <row r="51" spans="1:5" x14ac:dyDescent="0.25">
      <c r="A51" s="1" t="s">
        <v>49</v>
      </c>
    </row>
    <row r="52" spans="1:5" x14ac:dyDescent="0.25">
      <c r="A52" s="1" t="s">
        <v>50</v>
      </c>
    </row>
    <row r="53" spans="1:5" x14ac:dyDescent="0.25">
      <c r="A53" s="1" t="s">
        <v>51</v>
      </c>
    </row>
    <row r="54" spans="1:5" x14ac:dyDescent="0.25">
      <c r="A54" s="1" t="s">
        <v>52</v>
      </c>
    </row>
    <row r="56" spans="1:5" ht="40" x14ac:dyDescent="0.25">
      <c r="A56" s="14" t="s">
        <v>89</v>
      </c>
      <c r="B56" s="5" t="s">
        <v>53</v>
      </c>
      <c r="C56" s="6"/>
      <c r="D56" s="6"/>
      <c r="E56" s="6"/>
    </row>
    <row r="57" spans="1:5" ht="48" x14ac:dyDescent="0.25">
      <c r="A57" s="1" t="s">
        <v>90</v>
      </c>
      <c r="B57" s="7" t="s">
        <v>54</v>
      </c>
      <c r="C57" s="7" t="s">
        <v>55</v>
      </c>
      <c r="D57" s="7" t="s">
        <v>56</v>
      </c>
      <c r="E57" s="7" t="s">
        <v>57</v>
      </c>
    </row>
    <row r="58" spans="1:5" x14ac:dyDescent="0.25">
      <c r="B58" s="6">
        <v>1</v>
      </c>
      <c r="C58" s="6">
        <v>50</v>
      </c>
      <c r="D58" s="6">
        <v>55</v>
      </c>
      <c r="E58" s="6">
        <f t="shared" ref="E58:E63" si="0">D58-C58</f>
        <v>5</v>
      </c>
    </row>
    <row r="59" spans="1:5" x14ac:dyDescent="0.25">
      <c r="B59" s="6">
        <v>2</v>
      </c>
      <c r="C59" s="6">
        <v>60</v>
      </c>
      <c r="D59" s="6">
        <v>65</v>
      </c>
      <c r="E59" s="6">
        <f t="shared" si="0"/>
        <v>5</v>
      </c>
    </row>
    <row r="60" spans="1:5" x14ac:dyDescent="0.25">
      <c r="B60" s="6">
        <v>3</v>
      </c>
      <c r="C60" s="6">
        <v>58</v>
      </c>
      <c r="D60" s="6">
        <v>59</v>
      </c>
      <c r="E60" s="6">
        <f t="shared" si="0"/>
        <v>1</v>
      </c>
    </row>
    <row r="61" spans="1:5" x14ac:dyDescent="0.25">
      <c r="B61" s="6">
        <v>4</v>
      </c>
      <c r="C61" s="6">
        <v>55</v>
      </c>
      <c r="D61" s="6">
        <v>58</v>
      </c>
      <c r="E61" s="6">
        <f t="shared" si="0"/>
        <v>3</v>
      </c>
    </row>
    <row r="62" spans="1:5" x14ac:dyDescent="0.25">
      <c r="B62" s="6">
        <v>5</v>
      </c>
      <c r="C62" s="6">
        <v>62</v>
      </c>
      <c r="D62" s="6">
        <v>63</v>
      </c>
      <c r="E62" s="6">
        <f t="shared" si="0"/>
        <v>1</v>
      </c>
    </row>
    <row r="63" spans="1:5" x14ac:dyDescent="0.25">
      <c r="B63" s="6">
        <v>6</v>
      </c>
      <c r="C63" s="6">
        <v>56</v>
      </c>
      <c r="D63" s="6">
        <v>59</v>
      </c>
      <c r="E63" s="6">
        <f t="shared" si="0"/>
        <v>3</v>
      </c>
    </row>
    <row r="64" spans="1:5" x14ac:dyDescent="0.25">
      <c r="B64" s="6"/>
      <c r="C64" s="6"/>
      <c r="D64" s="6"/>
      <c r="E64" s="6"/>
    </row>
    <row r="65" spans="1:5" x14ac:dyDescent="0.25">
      <c r="B65" s="7" t="s">
        <v>39</v>
      </c>
      <c r="C65" s="6" t="s">
        <v>58</v>
      </c>
      <c r="D65" s="6"/>
      <c r="E65" s="6"/>
    </row>
    <row r="66" spans="1:5" x14ac:dyDescent="0.25">
      <c r="B66" s="6" t="s">
        <v>59</v>
      </c>
      <c r="C66" s="6">
        <f>AVERAGE(E58:E63)</f>
        <v>3</v>
      </c>
      <c r="D66" s="6"/>
      <c r="E66" s="6"/>
    </row>
    <row r="67" spans="1:5" ht="34" x14ac:dyDescent="0.25">
      <c r="B67" s="6" t="s">
        <v>60</v>
      </c>
      <c r="C67" s="6">
        <f>_xlfn.SINGLE(_xlfn.STDEV.S(E58:E63))</f>
        <v>1.7888543819998317</v>
      </c>
      <c r="D67" s="6"/>
      <c r="E67" s="6"/>
    </row>
    <row r="68" spans="1:5" x14ac:dyDescent="0.25">
      <c r="B68" s="6" t="s">
        <v>61</v>
      </c>
      <c r="C68" s="6">
        <f>COUNT(E58:E63)</f>
        <v>6</v>
      </c>
      <c r="D68" s="6"/>
      <c r="E68" s="6"/>
    </row>
    <row r="69" spans="1:5" x14ac:dyDescent="0.25">
      <c r="B69" s="6" t="s">
        <v>41</v>
      </c>
      <c r="C69" s="6">
        <f>C66/(C67/SQRT(C68))</f>
        <v>4.1079191812887457</v>
      </c>
      <c r="D69" s="6"/>
      <c r="E69" s="6"/>
    </row>
    <row r="70" spans="1:5" ht="34" x14ac:dyDescent="0.25">
      <c r="B70" s="6" t="s">
        <v>42</v>
      </c>
      <c r="C70" s="6">
        <f>C68-1</f>
        <v>5</v>
      </c>
      <c r="D70" s="6"/>
      <c r="E70" s="6"/>
    </row>
    <row r="71" spans="1:5" x14ac:dyDescent="0.25">
      <c r="B71" s="6" t="s">
        <v>62</v>
      </c>
      <c r="C71" s="6">
        <f>_xlfn.SINGLE(_xlfn.T.DIST.RT(C69,C70))</f>
        <v>4.6413525173689693E-3</v>
      </c>
      <c r="D71" s="6"/>
      <c r="E71" s="6"/>
    </row>
    <row r="72" spans="1:5" x14ac:dyDescent="0.25">
      <c r="B72" s="6" t="s">
        <v>43</v>
      </c>
      <c r="C72" s="6">
        <f>_xlfn.SINGLE(_xlfn.T.INV(1-0.05,C70))</f>
        <v>2.0150483733330233</v>
      </c>
      <c r="D72" s="6"/>
      <c r="E72" s="6"/>
    </row>
    <row r="73" spans="1:5" x14ac:dyDescent="0.25">
      <c r="B73" s="6" t="s">
        <v>44</v>
      </c>
      <c r="C73" s="6" t="str">
        <f>IF(C69&gt;C72,"Fail to reject H₀","Reject H₀")</f>
        <v>Fail to reject H₀</v>
      </c>
      <c r="D73" s="6"/>
      <c r="E73" s="6"/>
    </row>
    <row r="74" spans="1:5" ht="68" x14ac:dyDescent="0.25">
      <c r="B74" s="6" t="s">
        <v>45</v>
      </c>
      <c r="C74" s="6" t="str">
        <f>IF(C69&gt;C72,"Not enough evidence that training improved productivity","Evidence that training improved productivity")</f>
        <v>Not enough evidence that training improved productivity</v>
      </c>
      <c r="D74" s="6"/>
      <c r="E74" s="6"/>
    </row>
    <row r="75" spans="1:5" x14ac:dyDescent="0.25">
      <c r="B75"/>
      <c r="C75"/>
      <c r="D75"/>
    </row>
    <row r="76" spans="1:5" x14ac:dyDescent="0.25">
      <c r="B76" t="s">
        <v>46</v>
      </c>
      <c r="C76" t="s">
        <v>63</v>
      </c>
      <c r="D76"/>
    </row>
    <row r="77" spans="1:5" x14ac:dyDescent="0.25">
      <c r="B77"/>
      <c r="C77"/>
      <c r="D77"/>
    </row>
    <row r="79" spans="1:5" x14ac:dyDescent="0.25">
      <c r="A79" s="14" t="s">
        <v>91</v>
      </c>
      <c r="B79" s="8" t="s">
        <v>64</v>
      </c>
      <c r="C79" s="9"/>
      <c r="D79" s="9"/>
    </row>
    <row r="80" spans="1:5" x14ac:dyDescent="0.25">
      <c r="A80" s="1" t="s">
        <v>92</v>
      </c>
      <c r="B80" s="10" t="s">
        <v>65</v>
      </c>
      <c r="C80" s="13" t="s">
        <v>66</v>
      </c>
      <c r="D80" s="13" t="s">
        <v>67</v>
      </c>
      <c r="E80" s="13" t="s">
        <v>68</v>
      </c>
    </row>
    <row r="81" spans="2:5" x14ac:dyDescent="0.25">
      <c r="B81" s="9" t="s">
        <v>69</v>
      </c>
      <c r="C81" s="9">
        <v>30</v>
      </c>
      <c r="D81" s="9">
        <v>20</v>
      </c>
      <c r="E81" s="9">
        <v>50</v>
      </c>
    </row>
    <row r="82" spans="2:5" x14ac:dyDescent="0.25">
      <c r="B82" s="9" t="s">
        <v>70</v>
      </c>
      <c r="C82" s="9">
        <v>10</v>
      </c>
      <c r="D82" s="9">
        <v>40</v>
      </c>
      <c r="E82" s="9">
        <v>50</v>
      </c>
    </row>
    <row r="83" spans="2:5" x14ac:dyDescent="0.25">
      <c r="B83" s="9" t="s">
        <v>68</v>
      </c>
      <c r="C83" s="9">
        <v>40</v>
      </c>
      <c r="D83" s="9">
        <v>60</v>
      </c>
      <c r="E83" s="9">
        <v>100</v>
      </c>
    </row>
    <row r="84" spans="2:5" x14ac:dyDescent="0.25">
      <c r="B84" s="9"/>
      <c r="C84" s="9"/>
      <c r="D84" s="9"/>
      <c r="E84" s="9"/>
    </row>
    <row r="85" spans="2:5" x14ac:dyDescent="0.25">
      <c r="B85" s="10" t="s">
        <v>71</v>
      </c>
      <c r="C85" s="12" t="s">
        <v>66</v>
      </c>
      <c r="D85" s="12" t="s">
        <v>67</v>
      </c>
      <c r="E85" s="9"/>
    </row>
    <row r="86" spans="2:5" x14ac:dyDescent="0.25">
      <c r="B86" s="9" t="s">
        <v>69</v>
      </c>
      <c r="C86" s="9">
        <v>20</v>
      </c>
      <c r="D86" s="9">
        <v>30</v>
      </c>
      <c r="E86" s="9"/>
    </row>
    <row r="87" spans="2:5" x14ac:dyDescent="0.25">
      <c r="B87" s="9" t="s">
        <v>70</v>
      </c>
      <c r="C87" s="9">
        <v>20</v>
      </c>
      <c r="D87" s="9">
        <v>30</v>
      </c>
      <c r="E87" s="9"/>
    </row>
    <row r="88" spans="2:5" x14ac:dyDescent="0.25">
      <c r="B88" s="9"/>
      <c r="C88" s="9"/>
      <c r="D88" s="9"/>
      <c r="E88" s="9"/>
    </row>
    <row r="89" spans="2:5" x14ac:dyDescent="0.25">
      <c r="B89" s="10" t="s">
        <v>39</v>
      </c>
      <c r="C89" s="9" t="s">
        <v>58</v>
      </c>
      <c r="D89" s="9"/>
      <c r="E89" s="9"/>
    </row>
    <row r="90" spans="2:5" x14ac:dyDescent="0.25">
      <c r="B90" s="9" t="s">
        <v>72</v>
      </c>
      <c r="C90" s="9">
        <v>16.666666670000001</v>
      </c>
      <c r="D90" s="9"/>
      <c r="E90" s="9"/>
    </row>
    <row r="91" spans="2:5" x14ac:dyDescent="0.25">
      <c r="B91" s="9" t="s">
        <v>42</v>
      </c>
      <c r="C91" s="9">
        <v>1</v>
      </c>
      <c r="D91" s="9"/>
      <c r="E91" s="9"/>
    </row>
    <row r="92" spans="2:5" x14ac:dyDescent="0.25">
      <c r="B92" s="9" t="s">
        <v>36</v>
      </c>
      <c r="C92" s="9">
        <v>0.05</v>
      </c>
      <c r="D92" s="9"/>
      <c r="E92" s="9"/>
    </row>
    <row r="93" spans="2:5" x14ac:dyDescent="0.25">
      <c r="B93" s="9" t="s">
        <v>73</v>
      </c>
      <c r="C93" s="11">
        <v>4.4557100000000001E-5</v>
      </c>
      <c r="D93" s="9"/>
      <c r="E93" s="9"/>
    </row>
    <row r="94" spans="2:5" x14ac:dyDescent="0.25">
      <c r="B94" s="9" t="s">
        <v>74</v>
      </c>
      <c r="C94" s="9">
        <v>3.8414588209999998</v>
      </c>
      <c r="D94" s="9"/>
      <c r="E94" s="9"/>
    </row>
    <row r="95" spans="2:5" x14ac:dyDescent="0.25">
      <c r="B95" s="9" t="s">
        <v>44</v>
      </c>
      <c r="C95" s="9" t="s">
        <v>75</v>
      </c>
      <c r="D95" s="9"/>
      <c r="E95" s="9"/>
    </row>
    <row r="96" spans="2:5" x14ac:dyDescent="0.25">
      <c r="B96" s="9" t="s">
        <v>45</v>
      </c>
      <c r="C96" s="9" t="s">
        <v>76</v>
      </c>
      <c r="D96" s="9"/>
      <c r="E96" s="9"/>
    </row>
    <row r="97" spans="2:5" x14ac:dyDescent="0.25">
      <c r="B97" s="9" t="s">
        <v>46</v>
      </c>
      <c r="C97" s="9" t="s">
        <v>77</v>
      </c>
      <c r="D97" s="9"/>
      <c r="E97" s="9"/>
    </row>
    <row r="98" spans="2:5" x14ac:dyDescent="0.25">
      <c r="B98" s="9"/>
      <c r="C98" s="9"/>
      <c r="D98" s="9"/>
      <c r="E9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Ajubhai Ff</dc:creator>
  <cp:lastModifiedBy>Ajubhai Ff</cp:lastModifiedBy>
  <dcterms:created xsi:type="dcterms:W3CDTF">2026-09-28T18:27:04Z</dcterms:created>
  <dcterms:modified xsi:type="dcterms:W3CDTF">2026-09-28T19:53:44Z</dcterms:modified>
</cp:coreProperties>
</file>